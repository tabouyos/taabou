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判定一覧" sheetId="1" state="visible" r:id="rId1"/>
    <sheet xmlns:r="http://schemas.openxmlformats.org/officeDocument/2006/relationships" name="FRAX_S0001_見本 花子" sheetId="2" state="visible" r:id="rId2"/>
    <sheet xmlns:r="http://schemas.openxmlformats.org/officeDocument/2006/relationships" name="FRAX_S0005_見本 春子" sheetId="3" state="visible" r:id="rId3"/>
  </sheets>
  <definedNames>
    <definedName name="_xlnm._FilterDatabase" localSheetId="0" hidden="1">'判定一覧'!$A$2:$J$10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color rgb="00555555"/>
      <sz val="9"/>
    </font>
    <font>
      <b val="1"/>
      <color rgb="00C00000"/>
    </font>
    <font>
      <b val="1"/>
      <color rgb="00FFFFFF"/>
      <sz val="14"/>
    </font>
    <font>
      <color rgb="000563C1"/>
      <u val="single"/>
    </font>
  </fonts>
  <fills count="8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2F2F2"/>
      </patternFill>
    </fill>
    <fill>
      <patternFill patternType="solid">
        <fgColor rgb="00C7D9E6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5" fillId="2" borderId="0" pivotButton="0" quotePrefix="0" xfId="0"/>
    <xf numFmtId="0" fontId="2" fillId="4" borderId="1" pivotButton="0" quotePrefix="0" xfId="0"/>
    <xf numFmtId="0" fontId="0" fillId="6" borderId="1" pivotButton="0" quotePrefix="0" xfId="0"/>
    <xf numFmtId="165" fontId="0" fillId="6" borderId="1" pivotButton="0" quotePrefix="0" xfId="0"/>
    <xf numFmtId="0" fontId="6" fillId="6" borderId="1" pivotButton="0" quotePrefix="0" xfId="0"/>
    <xf numFmtId="0" fontId="0" fillId="7" borderId="1" pivotButton="0" quotePrefix="0" xfId="0"/>
    <xf numFmtId="165" fontId="0" fillId="7" borderId="1" pivotButton="0" quotePrefix="0" xfId="0"/>
    <xf numFmtId="0" fontId="0" fillId="3" borderId="1" pivotButton="0" quotePrefix="0" xfId="0"/>
    <xf numFmtId="165" fontId="0" fillId="3" borderId="1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1" pivotButton="0" quotePrefix="0" xfId="0"/>
    <xf numFmtId="0" fontId="0" fillId="0" borderId="1" pivotButton="0" quotePrefix="0" xfId="0"/>
    <xf numFmtId="0" fontId="2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0" borderId="1" pivotButton="0" quotePrefix="0" xfId="0"/>
    <xf numFmtId="0" fontId="2" fillId="0" borderId="0" pivotButton="0" quotePrefix="0" xfId="0"/>
    <xf numFmtId="0" fontId="0" fillId="5" borderId="1" pivotButton="0" quotePrefix="0" xfId="0"/>
    <xf numFmtId="0" fontId="2" fillId="0" borderId="1" pivotButton="0" quotePrefix="0" xfId="0"/>
    <xf numFmtId="0" fontId="4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FRAX_S0001_&#35211;&#26412; &#33457;&#23376;'!A1" TargetMode="External" Id="rId1"/><Relationship Type="http://schemas.openxmlformats.org/officeDocument/2006/relationships/hyperlink" Target="#'FRAX_S0005_&#35211;&#26412; &#26149;&#23376;'!A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16" customWidth="1" min="4" max="4"/>
    <col width="7" customWidth="1" min="5" max="5"/>
    <col width="7" customWidth="1" min="6" max="6"/>
    <col width="9" customWidth="1" min="7" max="7"/>
    <col width="9" customWidth="1" min="8" max="8"/>
    <col width="44" customWidth="1" min="9" max="9"/>
    <col width="26" customWidth="1" min="10" max="10"/>
  </cols>
  <sheetData>
    <row r="1" ht="26" customHeight="1">
      <c r="A1" s="1" t="inlineStr">
        <is>
          <t>FRAX 対象者判定一覧(対象 2名/要確認 1名/対象外 5名)</t>
        </is>
      </c>
    </row>
    <row r="2">
      <c r="A2" s="2" t="inlineStr">
        <is>
          <t>No</t>
        </is>
      </c>
      <c r="B2" s="2" t="inlineStr">
        <is>
          <t>受診日</t>
        </is>
      </c>
      <c r="C2" s="2" t="inlineStr">
        <is>
          <t>患者ID</t>
        </is>
      </c>
      <c r="D2" s="2" t="inlineStr">
        <is>
          <t>氏名</t>
        </is>
      </c>
      <c r="E2" s="2" t="inlineStr">
        <is>
          <t>年齢</t>
        </is>
      </c>
      <c r="F2" s="2" t="inlineStr">
        <is>
          <t>性別</t>
        </is>
      </c>
      <c r="G2" s="2" t="inlineStr">
        <is>
          <t>YAM(%)</t>
        </is>
      </c>
      <c r="H2" s="2" t="inlineStr">
        <is>
          <t>区分</t>
        </is>
      </c>
      <c r="I2" s="2" t="inlineStr">
        <is>
          <t>理由</t>
        </is>
      </c>
      <c r="J2" s="2" t="inlineStr">
        <is>
          <t>FRAXシート</t>
        </is>
      </c>
    </row>
    <row r="3">
      <c r="A3" s="3" t="n">
        <v>1</v>
      </c>
      <c r="B3" s="4" t="n">
        <v>46309</v>
      </c>
      <c r="C3" s="3" t="inlineStr">
        <is>
          <t>S0001</t>
        </is>
      </c>
      <c r="D3" s="3" t="inlineStr">
        <is>
          <t>見本 花子</t>
        </is>
      </c>
      <c r="E3" s="3" t="n">
        <v>65</v>
      </c>
      <c r="F3" s="3" t="inlineStr">
        <is>
          <t>女性</t>
        </is>
      </c>
      <c r="G3" s="3" t="n">
        <v>76</v>
      </c>
      <c r="H3" s="3" t="inlineStr">
        <is>
          <t>対象</t>
        </is>
      </c>
      <c r="I3" s="3" t="inlineStr">
        <is>
          <t>YAM76%(骨量減少域)</t>
        </is>
      </c>
      <c r="J3" s="5" t="inlineStr">
        <is>
          <t>FRAX_S0001_見本 花子</t>
        </is>
      </c>
    </row>
    <row r="4">
      <c r="A4" s="3" t="n">
        <v>2</v>
      </c>
      <c r="B4" s="4" t="n">
        <v>46309</v>
      </c>
      <c r="C4" s="3" t="inlineStr">
        <is>
          <t>S0005</t>
        </is>
      </c>
      <c r="D4" s="3" t="inlineStr">
        <is>
          <t>見本 春子</t>
        </is>
      </c>
      <c r="E4" s="3" t="n">
        <v>74</v>
      </c>
      <c r="F4" s="3" t="inlineStr">
        <is>
          <t>女性</t>
        </is>
      </c>
      <c r="G4" s="3" t="n">
        <v>74</v>
      </c>
      <c r="H4" s="3" t="inlineStr">
        <is>
          <t>対象</t>
        </is>
      </c>
      <c r="I4" s="3" t="inlineStr">
        <is>
          <t>YAM74%(骨量減少域)</t>
        </is>
      </c>
      <c r="J4" s="5" t="inlineStr">
        <is>
          <t>FRAX_S0005_見本 春子</t>
        </is>
      </c>
    </row>
    <row r="5">
      <c r="A5" s="6" t="n">
        <v>3</v>
      </c>
      <c r="B5" s="7" t="n">
        <v>46309</v>
      </c>
      <c r="C5" s="6" t="inlineStr">
        <is>
          <t>S0007</t>
        </is>
      </c>
      <c r="D5" s="6" t="inlineStr">
        <is>
          <t>見本 秋子</t>
        </is>
      </c>
      <c r="E5" s="6" t="n">
        <v>63</v>
      </c>
      <c r="F5" s="6" t="inlineStr">
        <is>
          <t>女性</t>
        </is>
      </c>
      <c r="G5" s="6" t="n"/>
      <c r="H5" s="6" t="inlineStr">
        <is>
          <t>要確認</t>
        </is>
      </c>
      <c r="I5" s="6" t="inlineStr">
        <is>
          <t>骨密度(YAM)未測定</t>
        </is>
      </c>
      <c r="J5" s="6" t="inlineStr"/>
    </row>
    <row r="6">
      <c r="A6" s="8" t="n">
        <v>4</v>
      </c>
      <c r="B6" s="9" t="n">
        <v>46309</v>
      </c>
      <c r="C6" s="8" t="inlineStr">
        <is>
          <t>S0002</t>
        </is>
      </c>
      <c r="D6" s="8" t="inlineStr">
        <is>
          <t>見本 和子</t>
        </is>
      </c>
      <c r="E6" s="8" t="n">
        <v>71</v>
      </c>
      <c r="F6" s="8" t="inlineStr">
        <is>
          <t>女性</t>
        </is>
      </c>
      <c r="G6" s="8" t="n">
        <v>65</v>
      </c>
      <c r="H6" s="8" t="inlineStr">
        <is>
          <t>対象外</t>
        </is>
      </c>
      <c r="I6" s="8" t="inlineStr">
        <is>
          <t>YAM65%→骨粗鬆症域(治療検討へ)</t>
        </is>
      </c>
      <c r="J6" s="8" t="inlineStr"/>
    </row>
    <row r="7">
      <c r="A7" s="8" t="n">
        <v>5</v>
      </c>
      <c r="B7" s="9" t="n">
        <v>46309</v>
      </c>
      <c r="C7" s="8" t="inlineStr">
        <is>
          <t>S0003</t>
        </is>
      </c>
      <c r="D7" s="8" t="inlineStr">
        <is>
          <t>見本 太郎</t>
        </is>
      </c>
      <c r="E7" s="8" t="n">
        <v>56</v>
      </c>
      <c r="F7" s="8" t="inlineStr">
        <is>
          <t>男性</t>
        </is>
      </c>
      <c r="G7" s="8" t="n">
        <v>92</v>
      </c>
      <c r="H7" s="8" t="inlineStr">
        <is>
          <t>対象外</t>
        </is>
      </c>
      <c r="I7" s="8" t="inlineStr">
        <is>
          <t>YAM92%→正常域</t>
        </is>
      </c>
      <c r="J7" s="8" t="inlineStr"/>
    </row>
    <row r="8">
      <c r="A8" s="8" t="n">
        <v>6</v>
      </c>
      <c r="B8" s="9" t="n">
        <v>46309</v>
      </c>
      <c r="C8" s="8" t="inlineStr">
        <is>
          <t>S0004</t>
        </is>
      </c>
      <c r="D8" s="8" t="inlineStr">
        <is>
          <t>見本 良子</t>
        </is>
      </c>
      <c r="E8" s="8" t="n">
        <v>76</v>
      </c>
      <c r="F8" s="8" t="inlineStr">
        <is>
          <t>女性</t>
        </is>
      </c>
      <c r="G8" s="8" t="n">
        <v>78</v>
      </c>
      <c r="H8" s="8" t="inlineStr">
        <is>
          <t>対象外</t>
        </is>
      </c>
      <c r="I8" s="8" t="inlineStr">
        <is>
          <t>脆弱性骨折あり+YAM78%→骨粗鬆症(治療検討へ)</t>
        </is>
      </c>
      <c r="J8" s="8" t="inlineStr"/>
    </row>
    <row r="9">
      <c r="A9" s="8" t="n">
        <v>7</v>
      </c>
      <c r="B9" s="9" t="n">
        <v>46309</v>
      </c>
      <c r="C9" s="8" t="inlineStr">
        <is>
          <t>S0006</t>
        </is>
      </c>
      <c r="D9" s="8" t="inlineStr">
        <is>
          <t>見本 次郎</t>
        </is>
      </c>
      <c r="E9" s="8" t="n">
        <v>36</v>
      </c>
      <c r="F9" s="8" t="inlineStr">
        <is>
          <t>男性</t>
        </is>
      </c>
      <c r="G9" s="8" t="n">
        <v>72</v>
      </c>
      <c r="H9" s="8" t="inlineStr">
        <is>
          <t>対象外</t>
        </is>
      </c>
      <c r="I9" s="8" t="inlineStr">
        <is>
          <t>36歳(FRAX適用は40〜90歳)</t>
        </is>
      </c>
      <c r="J9" s="8" t="inlineStr"/>
    </row>
    <row r="10">
      <c r="A10" s="8" t="n">
        <v>8</v>
      </c>
      <c r="B10" s="9" t="n">
        <v>46309</v>
      </c>
      <c r="C10" s="8" t="inlineStr">
        <is>
          <t>S0008</t>
        </is>
      </c>
      <c r="D10" s="8" t="inlineStr">
        <is>
          <t>見本 冬子</t>
        </is>
      </c>
      <c r="E10" s="8" t="n">
        <v>79</v>
      </c>
      <c r="F10" s="8" t="inlineStr">
        <is>
          <t>女性</t>
        </is>
      </c>
      <c r="G10" s="8" t="n">
        <v>79</v>
      </c>
      <c r="H10" s="8" t="inlineStr">
        <is>
          <t>対象外</t>
        </is>
      </c>
      <c r="I10" s="8" t="inlineStr">
        <is>
          <t>椎体・大腿骨近位部骨折あり→骨粗鬆症(治療検討へ)</t>
        </is>
      </c>
      <c r="J10" s="8" t="inlineStr"/>
    </row>
  </sheetData>
  <autoFilter ref="A2:J10"/>
  <mergeCells count="1">
    <mergeCell ref="A1:J1"/>
  </mergeCells>
  <hyperlinks>
    <hyperlink xmlns:r="http://schemas.openxmlformats.org/officeDocument/2006/relationships" ref="J3" r:id="rId1"/>
    <hyperlink xmlns:r="http://schemas.openxmlformats.org/officeDocument/2006/relationships" ref="J4" r:id="rId2"/>
  </hyperlink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26" customWidth="1" min="3" max="3"/>
    <col width="44" customWidth="1" min="4" max="4"/>
  </cols>
  <sheetData>
    <row r="1" ht="30" customHeight="1">
      <c r="A1" s="10" t="inlineStr">
        <is>
          <t>FRAX 骨折リスク評価シート</t>
        </is>
      </c>
    </row>
    <row r="3">
      <c r="B3" s="8" t="inlineStr">
        <is>
          <t>受診日</t>
        </is>
      </c>
      <c r="C3" s="11" t="n">
        <v>46309</v>
      </c>
      <c r="D3" s="12" t="n"/>
    </row>
    <row r="4">
      <c r="B4" s="8" t="inlineStr">
        <is>
          <t>患者ID</t>
        </is>
      </c>
      <c r="C4" s="12" t="inlineStr">
        <is>
          <t>S0001</t>
        </is>
      </c>
      <c r="D4" s="12" t="n"/>
    </row>
    <row r="5">
      <c r="B5" s="8" t="inlineStr">
        <is>
          <t>氏名</t>
        </is>
      </c>
      <c r="C5" s="12" t="inlineStr">
        <is>
          <t>見本 花子</t>
        </is>
      </c>
      <c r="D5" s="12" t="n"/>
    </row>
    <row r="6">
      <c r="B6" s="8" t="inlineStr">
        <is>
          <t>抽出理由</t>
        </is>
      </c>
      <c r="C6" s="12" t="inlineStr">
        <is>
          <t>YAM76%(骨量減少域)</t>
        </is>
      </c>
      <c r="D6" s="12" t="n"/>
    </row>
    <row r="8">
      <c r="A8" s="13" t="inlineStr">
        <is>
          <t>No</t>
        </is>
      </c>
      <c r="B8" s="13" t="inlineStr">
        <is>
          <t>FRAX 入力項目</t>
        </is>
      </c>
      <c r="C8" s="13" t="inlineStr">
        <is>
          <t>値</t>
        </is>
      </c>
      <c r="D8" s="13" t="inlineStr">
        <is>
          <t>備考</t>
        </is>
      </c>
    </row>
    <row r="9">
      <c r="A9" s="14" t="n">
        <v>1</v>
      </c>
      <c r="B9" s="12" t="inlineStr">
        <is>
          <t>年齢</t>
        </is>
      </c>
      <c r="C9" s="12" t="n">
        <v>65</v>
      </c>
      <c r="D9" s="15" t="inlineStr">
        <is>
          <t>歳</t>
        </is>
      </c>
    </row>
    <row r="10">
      <c r="A10" s="14" t="n">
        <v>2</v>
      </c>
      <c r="B10" s="12" t="inlineStr">
        <is>
          <t>性別</t>
        </is>
      </c>
      <c r="C10" s="12" t="inlineStr">
        <is>
          <t>女性</t>
        </is>
      </c>
      <c r="D10" s="15" t="inlineStr"/>
    </row>
    <row r="11">
      <c r="A11" s="14" t="n">
        <v>3</v>
      </c>
      <c r="B11" s="12" t="inlineStr">
        <is>
          <t>体重(kg)</t>
        </is>
      </c>
      <c r="C11" s="12" t="n">
        <v>48</v>
      </c>
      <c r="D11" s="15" t="inlineStr"/>
    </row>
    <row r="12">
      <c r="A12" s="14" t="n">
        <v>4</v>
      </c>
      <c r="B12" s="12" t="inlineStr">
        <is>
          <t>身長(cm)</t>
        </is>
      </c>
      <c r="C12" s="12" t="n">
        <v>152</v>
      </c>
      <c r="D12" s="15" t="inlineStr"/>
    </row>
    <row r="13">
      <c r="A13" s="14" t="n">
        <v>5</v>
      </c>
      <c r="B13" s="12" t="inlineStr">
        <is>
          <t>BMI</t>
        </is>
      </c>
      <c r="C13" s="12">
        <f>IF(AND(ISNUMBER(C11),ISNUMBER(C12),C12&gt;0),ROUND(C11/(C12/100)^2,1),"")</f>
        <v/>
      </c>
      <c r="D13" s="15" t="inlineStr">
        <is>
          <t>体重・身長から自動計算</t>
        </is>
      </c>
    </row>
    <row r="14">
      <c r="A14" s="14" t="n">
        <v>6</v>
      </c>
      <c r="B14" s="12" t="inlineStr">
        <is>
          <t>骨折歴(成人後の脆弱性骨折)</t>
        </is>
      </c>
      <c r="C14" s="12" t="inlineStr">
        <is>
          <t>いいえ</t>
        </is>
      </c>
      <c r="D14" s="15" t="inlineStr"/>
    </row>
    <row r="15">
      <c r="A15" s="14" t="n">
        <v>7</v>
      </c>
      <c r="B15" s="12" t="inlineStr">
        <is>
          <t>両親の大腿骨近位部骨折歴</t>
        </is>
      </c>
      <c r="C15" s="12" t="inlineStr">
        <is>
          <t>はい</t>
        </is>
      </c>
      <c r="D15" s="15" t="inlineStr"/>
    </row>
    <row r="16">
      <c r="A16" s="14" t="n">
        <v>8</v>
      </c>
      <c r="B16" s="12" t="inlineStr">
        <is>
          <t>現在の喫煙</t>
        </is>
      </c>
      <c r="C16" s="12" t="inlineStr">
        <is>
          <t>いいえ</t>
        </is>
      </c>
      <c r="D16" s="15" t="inlineStr"/>
    </row>
    <row r="17">
      <c r="A17" s="14" t="n">
        <v>9</v>
      </c>
      <c r="B17" s="12" t="inlineStr">
        <is>
          <t>糖質コルチコイド</t>
        </is>
      </c>
      <c r="C17" s="12" t="inlineStr">
        <is>
          <t>いいえ</t>
        </is>
      </c>
      <c r="D17" s="15" t="inlineStr">
        <is>
          <t>3か月以上・PSL換算5mg/日以上</t>
        </is>
      </c>
    </row>
    <row r="18">
      <c r="A18" s="14" t="n">
        <v>10</v>
      </c>
      <c r="B18" s="12" t="inlineStr">
        <is>
          <t>関節リウマチ</t>
        </is>
      </c>
      <c r="C18" s="12" t="inlineStr">
        <is>
          <t>いいえ</t>
        </is>
      </c>
      <c r="D18" s="15" t="inlineStr"/>
    </row>
    <row r="19">
      <c r="A19" s="14" t="n">
        <v>11</v>
      </c>
      <c r="B19" s="12" t="inlineStr">
        <is>
          <t>続発性骨粗鬆症</t>
        </is>
      </c>
      <c r="C19" s="12" t="inlineStr">
        <is>
          <t>いいえ</t>
        </is>
      </c>
      <c r="D19" s="15" t="inlineStr">
        <is>
          <t>1型糖尿病・甲状腺機能亢進症・早期閉経など</t>
        </is>
      </c>
    </row>
    <row r="20">
      <c r="A20" s="14" t="n">
        <v>12</v>
      </c>
      <c r="B20" s="12" t="inlineStr">
        <is>
          <t>アルコール(1日3単位以上)</t>
        </is>
      </c>
      <c r="C20" s="12" t="inlineStr">
        <is>
          <t>いいえ</t>
        </is>
      </c>
      <c r="D20" s="15" t="inlineStr">
        <is>
          <t>1単位=アルコール8〜10g</t>
        </is>
      </c>
    </row>
    <row r="21">
      <c r="A21" s="14" t="n">
        <v>13</v>
      </c>
      <c r="B21" s="12" t="inlineStr">
        <is>
          <t>大腿骨頸部骨密度(g/cm2)</t>
        </is>
      </c>
      <c r="C21" s="12" t="n">
        <v>0.62</v>
      </c>
      <c r="D21" s="15" t="inlineStr">
        <is>
          <t>YAM 76.0%/測定部位:腰椎</t>
        </is>
      </c>
    </row>
    <row r="23">
      <c r="B23" s="16" t="inlineStr">
        <is>
          <t>FRAX 計算結果(公式サイトで計算して入力)</t>
        </is>
      </c>
    </row>
    <row r="24">
      <c r="B24" s="12" t="inlineStr">
        <is>
          <t>主要骨粗鬆症性骨折 10年確率(%)</t>
        </is>
      </c>
      <c r="C24" s="17" t="n"/>
    </row>
    <row r="25">
      <c r="B25" s="12" t="inlineStr">
        <is>
          <t>大腿骨近位部骨折 10年確率(%)</t>
        </is>
      </c>
      <c r="C25" s="17" t="n"/>
    </row>
    <row r="26">
      <c r="B26" s="18" t="inlineStr">
        <is>
          <t>判定</t>
        </is>
      </c>
      <c r="C26" s="19">
        <f>IF(C24="","FRAX計算後に結果を入力",IF(C9&gt;=75,"75歳以上:15%基準は適用外(医師の総合判断)",IF(C24&gt;=15,"15%以上:薬物治療開始を検討","15%未満:生活指導・経過観察")))</f>
        <v/>
      </c>
      <c r="D26" s="12" t="n"/>
    </row>
    <row r="28">
      <c r="B28" s="8" t="inlineStr">
        <is>
          <t>評価者</t>
        </is>
      </c>
      <c r="C28" s="12" t="n"/>
      <c r="D28" s="12" t="n"/>
    </row>
    <row r="29">
      <c r="B29" s="8" t="inlineStr">
        <is>
          <t>確認医師</t>
        </is>
      </c>
      <c r="C29" s="12" t="n"/>
      <c r="D29" s="12" t="n"/>
    </row>
    <row r="30">
      <c r="B30" s="8" t="inlineStr">
        <is>
          <t>記入日</t>
        </is>
      </c>
      <c r="C30" s="12" t="n"/>
      <c r="D30" s="12" t="n"/>
    </row>
    <row r="32">
      <c r="B32" s="20" t="inlineStr">
        <is>
          <t>FRAX 計算:https://frax.shef.ac.uk/FRAX/tool.aspx?lang=jp (国:日本)</t>
        </is>
      </c>
    </row>
    <row r="33">
      <c r="B33" s="20" t="inlineStr">
        <is>
          <t>黄色セル=未入力/要入力。値は「はい/いいえ」をプルダウンで修正できます。</t>
        </is>
      </c>
    </row>
  </sheetData>
  <mergeCells count="9">
    <mergeCell ref="A1:D1"/>
    <mergeCell ref="C6:D6"/>
    <mergeCell ref="C29:D29"/>
    <mergeCell ref="C30:D30"/>
    <mergeCell ref="C5:D5"/>
    <mergeCell ref="C26:D26"/>
    <mergeCell ref="C28:D28"/>
    <mergeCell ref="C3:D3"/>
    <mergeCell ref="C4:D4"/>
  </mergeCells>
  <dataValidations count="1">
    <dataValidation sqref="C14:C20" showDropDown="0" showInputMessage="0" showErrorMessage="0" allowBlank="1" type="list">
      <formula1>"はい,いいえ"</formula1>
    </dataValidation>
  </dataValidations>
  <pageMargins left="0.75" right="0.75" top="1" bottom="1" header="0.5" footer="0.5"/>
  <pageSetup orientation="portrait" paperSize="9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26" customWidth="1" min="3" max="3"/>
    <col width="44" customWidth="1" min="4" max="4"/>
  </cols>
  <sheetData>
    <row r="1" ht="30" customHeight="1">
      <c r="A1" s="10" t="inlineStr">
        <is>
          <t>FRAX 骨折リスク評価シート</t>
        </is>
      </c>
    </row>
    <row r="3">
      <c r="B3" s="8" t="inlineStr">
        <is>
          <t>受診日</t>
        </is>
      </c>
      <c r="C3" s="11" t="n">
        <v>46309</v>
      </c>
      <c r="D3" s="12" t="n"/>
    </row>
    <row r="4">
      <c r="B4" s="8" t="inlineStr">
        <is>
          <t>患者ID</t>
        </is>
      </c>
      <c r="C4" s="12" t="inlineStr">
        <is>
          <t>S0005</t>
        </is>
      </c>
      <c r="D4" s="12" t="n"/>
    </row>
    <row r="5">
      <c r="B5" s="8" t="inlineStr">
        <is>
          <t>氏名</t>
        </is>
      </c>
      <c r="C5" s="12" t="inlineStr">
        <is>
          <t>見本 春子</t>
        </is>
      </c>
      <c r="D5" s="12" t="n"/>
    </row>
    <row r="6">
      <c r="B6" s="8" t="inlineStr">
        <is>
          <t>抽出理由</t>
        </is>
      </c>
      <c r="C6" s="12" t="inlineStr">
        <is>
          <t>YAM74%(骨量減少域)</t>
        </is>
      </c>
      <c r="D6" s="12" t="n"/>
    </row>
    <row r="8">
      <c r="A8" s="13" t="inlineStr">
        <is>
          <t>No</t>
        </is>
      </c>
      <c r="B8" s="13" t="inlineStr">
        <is>
          <t>FRAX 入力項目</t>
        </is>
      </c>
      <c r="C8" s="13" t="inlineStr">
        <is>
          <t>値</t>
        </is>
      </c>
      <c r="D8" s="13" t="inlineStr">
        <is>
          <t>備考</t>
        </is>
      </c>
    </row>
    <row r="9">
      <c r="A9" s="14" t="n">
        <v>1</v>
      </c>
      <c r="B9" s="12" t="inlineStr">
        <is>
          <t>年齢</t>
        </is>
      </c>
      <c r="C9" s="12" t="n">
        <v>74</v>
      </c>
      <c r="D9" s="15" t="inlineStr">
        <is>
          <t>歳</t>
        </is>
      </c>
    </row>
    <row r="10">
      <c r="A10" s="14" t="n">
        <v>2</v>
      </c>
      <c r="B10" s="12" t="inlineStr">
        <is>
          <t>性別</t>
        </is>
      </c>
      <c r="C10" s="12" t="inlineStr">
        <is>
          <t>女性</t>
        </is>
      </c>
      <c r="D10" s="15" t="inlineStr"/>
    </row>
    <row r="11">
      <c r="A11" s="14" t="n">
        <v>3</v>
      </c>
      <c r="B11" s="12" t="inlineStr">
        <is>
          <t>体重(kg)</t>
        </is>
      </c>
      <c r="C11" s="12" t="n">
        <v>50</v>
      </c>
      <c r="D11" s="15" t="inlineStr"/>
    </row>
    <row r="12">
      <c r="A12" s="14" t="n">
        <v>4</v>
      </c>
      <c r="B12" s="12" t="inlineStr">
        <is>
          <t>身長(cm)</t>
        </is>
      </c>
      <c r="C12" s="12" t="n">
        <v>155</v>
      </c>
      <c r="D12" s="15" t="inlineStr"/>
    </row>
    <row r="13">
      <c r="A13" s="14" t="n">
        <v>5</v>
      </c>
      <c r="B13" s="12" t="inlineStr">
        <is>
          <t>BMI</t>
        </is>
      </c>
      <c r="C13" s="12">
        <f>IF(AND(ISNUMBER(C11),ISNUMBER(C12),C12&gt;0),ROUND(C11/(C12/100)^2,1),"")</f>
        <v/>
      </c>
      <c r="D13" s="15" t="inlineStr">
        <is>
          <t>体重・身長から自動計算</t>
        </is>
      </c>
    </row>
    <row r="14">
      <c r="A14" s="14" t="n">
        <v>6</v>
      </c>
      <c r="B14" s="12" t="inlineStr">
        <is>
          <t>骨折歴(成人後の脆弱性骨折)</t>
        </is>
      </c>
      <c r="C14" s="12" t="inlineStr">
        <is>
          <t>いいえ</t>
        </is>
      </c>
      <c r="D14" s="15" t="inlineStr"/>
    </row>
    <row r="15">
      <c r="A15" s="14" t="n">
        <v>7</v>
      </c>
      <c r="B15" s="12" t="inlineStr">
        <is>
          <t>両親の大腿骨近位部骨折歴</t>
        </is>
      </c>
      <c r="C15" s="12" t="inlineStr">
        <is>
          <t>いいえ</t>
        </is>
      </c>
      <c r="D15" s="15" t="inlineStr"/>
    </row>
    <row r="16">
      <c r="A16" s="14" t="n">
        <v>8</v>
      </c>
      <c r="B16" s="12" t="inlineStr">
        <is>
          <t>現在の喫煙</t>
        </is>
      </c>
      <c r="C16" s="12" t="inlineStr">
        <is>
          <t>いいえ</t>
        </is>
      </c>
      <c r="D16" s="15" t="inlineStr"/>
    </row>
    <row r="17">
      <c r="A17" s="14" t="n">
        <v>9</v>
      </c>
      <c r="B17" s="12" t="inlineStr">
        <is>
          <t>糖質コルチコイド</t>
        </is>
      </c>
      <c r="C17" s="12" t="inlineStr">
        <is>
          <t>はい</t>
        </is>
      </c>
      <c r="D17" s="15" t="inlineStr">
        <is>
          <t>3か月以上・PSL換算5mg/日以上</t>
        </is>
      </c>
    </row>
    <row r="18">
      <c r="A18" s="14" t="n">
        <v>10</v>
      </c>
      <c r="B18" s="12" t="inlineStr">
        <is>
          <t>関節リウマチ</t>
        </is>
      </c>
      <c r="C18" s="12" t="inlineStr">
        <is>
          <t>いいえ</t>
        </is>
      </c>
      <c r="D18" s="15" t="inlineStr"/>
    </row>
    <row r="19">
      <c r="A19" s="14" t="n">
        <v>11</v>
      </c>
      <c r="B19" s="12" t="inlineStr">
        <is>
          <t>続発性骨粗鬆症</t>
        </is>
      </c>
      <c r="C19" s="12" t="inlineStr">
        <is>
          <t>いいえ</t>
        </is>
      </c>
      <c r="D19" s="15" t="inlineStr">
        <is>
          <t>1型糖尿病・甲状腺機能亢進症・早期閉経など</t>
        </is>
      </c>
    </row>
    <row r="20">
      <c r="A20" s="14" t="n">
        <v>12</v>
      </c>
      <c r="B20" s="12" t="inlineStr">
        <is>
          <t>アルコール(1日3単位以上)</t>
        </is>
      </c>
      <c r="C20" s="12" t="inlineStr">
        <is>
          <t>いいえ</t>
        </is>
      </c>
      <c r="D20" s="15" t="inlineStr">
        <is>
          <t>1単位=アルコール8〜10g</t>
        </is>
      </c>
    </row>
    <row r="21">
      <c r="A21" s="14" t="n">
        <v>13</v>
      </c>
      <c r="B21" s="12" t="inlineStr">
        <is>
          <t>大腿骨頸部骨密度(g/cm2)</t>
        </is>
      </c>
      <c r="C21" s="12" t="n">
        <v>0.61</v>
      </c>
      <c r="D21" s="15" t="inlineStr">
        <is>
          <t>YAM 74.0%/測定部位:大腿骨</t>
        </is>
      </c>
    </row>
    <row r="23">
      <c r="B23" s="16" t="inlineStr">
        <is>
          <t>FRAX 計算結果(公式サイトで計算して入力)</t>
        </is>
      </c>
    </row>
    <row r="24">
      <c r="B24" s="12" t="inlineStr">
        <is>
          <t>主要骨粗鬆症性骨折 10年確率(%)</t>
        </is>
      </c>
      <c r="C24" s="17" t="n"/>
    </row>
    <row r="25">
      <c r="B25" s="12" t="inlineStr">
        <is>
          <t>大腿骨近位部骨折 10年確率(%)</t>
        </is>
      </c>
      <c r="C25" s="17" t="n"/>
    </row>
    <row r="26">
      <c r="B26" s="18" t="inlineStr">
        <is>
          <t>判定</t>
        </is>
      </c>
      <c r="C26" s="19">
        <f>IF(C24="","FRAX計算後に結果を入力",IF(C9&gt;=75,"75歳以上:15%基準は適用外(医師の総合判断)",IF(C24&gt;=15,"15%以上:薬物治療開始を検討","15%未満:生活指導・経過観察")))</f>
        <v/>
      </c>
      <c r="D26" s="12" t="n"/>
    </row>
    <row r="28">
      <c r="B28" s="8" t="inlineStr">
        <is>
          <t>評価者</t>
        </is>
      </c>
      <c r="C28" s="12" t="n"/>
      <c r="D28" s="12" t="n"/>
    </row>
    <row r="29">
      <c r="B29" s="8" t="inlineStr">
        <is>
          <t>確認医師</t>
        </is>
      </c>
      <c r="C29" s="12" t="n"/>
      <c r="D29" s="12" t="n"/>
    </row>
    <row r="30">
      <c r="B30" s="8" t="inlineStr">
        <is>
          <t>記入日</t>
        </is>
      </c>
      <c r="C30" s="12" t="n"/>
      <c r="D30" s="12" t="n"/>
    </row>
    <row r="32">
      <c r="B32" s="20" t="inlineStr">
        <is>
          <t>FRAX 計算:https://frax.shef.ac.uk/FRAX/tool.aspx?lang=jp (国:日本)</t>
        </is>
      </c>
    </row>
    <row r="33">
      <c r="B33" s="20" t="inlineStr">
        <is>
          <t>黄色セル=未入力/要入力。値は「はい/いいえ」をプルダウンで修正できます。</t>
        </is>
      </c>
    </row>
  </sheetData>
  <mergeCells count="9">
    <mergeCell ref="A1:D1"/>
    <mergeCell ref="C6:D6"/>
    <mergeCell ref="C29:D29"/>
    <mergeCell ref="C30:D30"/>
    <mergeCell ref="C5:D5"/>
    <mergeCell ref="C26:D26"/>
    <mergeCell ref="C28:D28"/>
    <mergeCell ref="C3:D3"/>
    <mergeCell ref="C4:D4"/>
  </mergeCells>
  <dataValidations count="1">
    <dataValidation sqref="C14:C20" showDropDown="0" showInputMessage="0" showErrorMessage="0" allowBlank="1" type="list">
      <formula1>"はい,いいえ"</formula1>
    </dataValidation>
  </dataValidation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2026-10-14T05:23:38Z</dcterms:created>
  <dcterms:modified xmlns:dcterms="http://purl.org/dc/terms/" xmlns:xsi="http://www.w3.org/2001/XMLSchema-instance" xsi:type="dcterms:W3CDTF">2026-10-14T05:23:38Z</dcterms:modified>
</cp:coreProperties>
</file>